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yhan\Desktop\Transendence\"/>
    </mc:Choice>
  </mc:AlternateContent>
  <xr:revisionPtr revIDLastSave="0" documentId="13_ncr:1_{76F497A6-1DB2-41DD-B0F5-96646CA1F4CD}" xr6:coauthVersionLast="36" xr6:coauthVersionMax="36" xr10:uidLastSave="{00000000-0000-0000-0000-000000000000}"/>
  <bookViews>
    <workbookView xWindow="0" yWindow="0" windowWidth="21570" windowHeight="7980" activeTab="1" xr2:uid="{A4B04074-673D-43C2-9FC0-7A51B9EB67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F5" i="2"/>
  <c r="D5" i="2"/>
  <c r="F4" i="2"/>
  <c r="D4" i="2"/>
  <c r="F3" i="2"/>
  <c r="D3" i="2"/>
  <c r="I3" i="2"/>
  <c r="L3" i="2"/>
  <c r="I4" i="2"/>
  <c r="L4" i="2"/>
  <c r="I5" i="2"/>
  <c r="L5" i="2"/>
  <c r="I6" i="2"/>
  <c r="F4" i="1" l="1"/>
  <c r="H4" i="2" s="1"/>
  <c r="K4" i="2" s="1"/>
  <c r="F5" i="1"/>
  <c r="H5" i="2" s="1"/>
  <c r="K5" i="2" s="1"/>
  <c r="F3" i="1"/>
  <c r="H3" i="2" s="1"/>
  <c r="K3" i="2" s="1"/>
  <c r="J4" i="1"/>
  <c r="J5" i="1"/>
  <c r="J6" i="1"/>
  <c r="J3" i="1"/>
  <c r="E3" i="1"/>
  <c r="E4" i="1"/>
  <c r="E5" i="1"/>
  <c r="C3" i="1"/>
  <c r="C4" i="1"/>
  <c r="C5" i="1"/>
  <c r="E6" i="1"/>
  <c r="F6" i="1" s="1"/>
  <c r="H6" i="2" s="1"/>
  <c r="K6" i="2" l="1"/>
</calcChain>
</file>

<file path=xl/sharedStrings.xml><?xml version="1.0" encoding="utf-8"?>
<sst xmlns="http://schemas.openxmlformats.org/spreadsheetml/2006/main" count="33" uniqueCount="24">
  <si>
    <t>yunozdem</t>
  </si>
  <si>
    <t>ekarau</t>
  </si>
  <si>
    <t>apalaz</t>
  </si>
  <si>
    <t>kaykin</t>
  </si>
  <si>
    <t>Bonus</t>
  </si>
  <si>
    <t>Regular</t>
  </si>
  <si>
    <t>Kullanılmayan Freeze</t>
  </si>
  <si>
    <t xml:space="preserve">Rapor </t>
  </si>
  <si>
    <t>5. Halka
Milestone Sonu</t>
  </si>
  <si>
    <t>6. Halka
Milestone Sonu</t>
  </si>
  <si>
    <t>6. Halka
Black Hole Günü</t>
  </si>
  <si>
    <t>Black Hole'e kalan gün</t>
  </si>
  <si>
    <t>Black Hole
 Tarihi</t>
  </si>
  <si>
    <t>Kullanilan</t>
  </si>
  <si>
    <t>Kalan Bonus Freeze</t>
  </si>
  <si>
    <t>Kalan Regular Freeze</t>
  </si>
  <si>
    <t>+15?</t>
  </si>
  <si>
    <t>Toplam</t>
  </si>
  <si>
    <t>Şuan itibariyle 6. Halka Black Hole Gün Sayısı</t>
  </si>
  <si>
    <t>*Yılbaşı 31 Aralık
Ramazan 19-22 Mart</t>
  </si>
  <si>
    <t>Kulaanılan Rapor (Freeze)</t>
  </si>
  <si>
    <t>-</t>
  </si>
  <si>
    <t>/</t>
  </si>
  <si>
    <t>Tatiller*
(Olası Compen-sation)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</si>
</sst>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4" fontId="0" fillId="0" borderId="0" xfId="0" applyNumberFormat="1" applyAlignment="1">
      <alignment horizontal="right" indent="1"/>
    </xf>
    <xf numFmtId="1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1" fontId="0" fillId="0" borderId="0" xfId="0" quotePrefix="1" applyNumberFormat="1" applyAlignment="1">
      <alignment horizontal="right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indent="7"/>
    </xf>
    <xf numFmtId="1" fontId="2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3" fillId="0" borderId="2" xfId="0" applyNumberFormat="1" applyFont="1" applyBorder="1" applyAlignment="1">
      <alignment horizontal="right" vertical="center" indent="2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right" vertical="center" inden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8</xdr:row>
      <xdr:rowOff>161925</xdr:rowOff>
    </xdr:from>
    <xdr:to>
      <xdr:col>4</xdr:col>
      <xdr:colOff>694882</xdr:colOff>
      <xdr:row>12</xdr:row>
      <xdr:rowOff>180877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2C2F9-1243-44ED-8718-F2C0E475D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2066925"/>
          <a:ext cx="3542857" cy="7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AA20-EDDB-4D7C-B713-F23A756D2F3E}">
  <dimension ref="A1:J6"/>
  <sheetViews>
    <sheetView workbookViewId="0">
      <selection activeCell="H9" sqref="H9"/>
    </sheetView>
  </sheetViews>
  <sheetFormatPr defaultRowHeight="15" x14ac:dyDescent="0.25"/>
  <cols>
    <col min="1" max="1" width="10.28515625" bestFit="1" customWidth="1"/>
    <col min="2" max="3" width="13.7109375" customWidth="1"/>
    <col min="4" max="4" width="13.7109375" style="1" customWidth="1"/>
    <col min="5" max="8" width="13.42578125" style="1" customWidth="1"/>
    <col min="9" max="9" width="11.5703125" customWidth="1"/>
    <col min="10" max="10" width="11" bestFit="1" customWidth="1"/>
  </cols>
  <sheetData>
    <row r="1" spans="1:10" ht="15" customHeight="1" x14ac:dyDescent="0.25">
      <c r="G1" s="1" t="s">
        <v>13</v>
      </c>
      <c r="I1" t="s">
        <v>6</v>
      </c>
    </row>
    <row r="2" spans="1:10" ht="45" x14ac:dyDescent="0.25">
      <c r="B2" s="3" t="s">
        <v>8</v>
      </c>
      <c r="C2" s="3" t="s">
        <v>9</v>
      </c>
      <c r="D2" s="2" t="s">
        <v>10</v>
      </c>
      <c r="E2" s="4" t="s">
        <v>12</v>
      </c>
      <c r="F2" s="4" t="s">
        <v>11</v>
      </c>
      <c r="G2" s="1" t="s">
        <v>7</v>
      </c>
      <c r="I2" t="s">
        <v>4</v>
      </c>
      <c r="J2" t="s">
        <v>5</v>
      </c>
    </row>
    <row r="3" spans="1:10" x14ac:dyDescent="0.25">
      <c r="A3" t="s">
        <v>0</v>
      </c>
      <c r="B3" s="5">
        <v>46010</v>
      </c>
      <c r="C3" s="5">
        <f>B3+30</f>
        <v>46040</v>
      </c>
      <c r="D3" s="6">
        <v>60</v>
      </c>
      <c r="E3" s="5">
        <f t="shared" ref="E3:E5" si="0">C3+D3</f>
        <v>46100</v>
      </c>
      <c r="F3" s="6">
        <f ca="1">E3-TODAY()</f>
        <v>97</v>
      </c>
      <c r="G3" s="6">
        <v>8</v>
      </c>
      <c r="H3" s="6"/>
      <c r="I3" s="7">
        <v>12</v>
      </c>
      <c r="J3" s="6">
        <f>70-G3</f>
        <v>62</v>
      </c>
    </row>
    <row r="4" spans="1:10" x14ac:dyDescent="0.25">
      <c r="A4" t="s">
        <v>1</v>
      </c>
      <c r="B4" s="5">
        <v>46029</v>
      </c>
      <c r="C4" s="5">
        <f>B4+30</f>
        <v>46059</v>
      </c>
      <c r="D4" s="6">
        <v>60</v>
      </c>
      <c r="E4" s="5">
        <f t="shared" si="0"/>
        <v>46119</v>
      </c>
      <c r="F4" s="6">
        <f t="shared" ref="F4:F6" ca="1" si="1">E4-TODAY()</f>
        <v>116</v>
      </c>
      <c r="G4" s="6">
        <v>37</v>
      </c>
      <c r="H4" s="8" t="s">
        <v>16</v>
      </c>
      <c r="I4" s="6">
        <v>22</v>
      </c>
      <c r="J4" s="6">
        <f t="shared" ref="J4:J6" si="2">70-G4</f>
        <v>33</v>
      </c>
    </row>
    <row r="5" spans="1:10" x14ac:dyDescent="0.25">
      <c r="A5" t="s">
        <v>2</v>
      </c>
      <c r="B5" s="5">
        <v>46002</v>
      </c>
      <c r="C5" s="5">
        <f>B5+30</f>
        <v>46032</v>
      </c>
      <c r="D5" s="6">
        <v>60</v>
      </c>
      <c r="E5" s="5">
        <f t="shared" si="0"/>
        <v>46092</v>
      </c>
      <c r="F5" s="6">
        <f t="shared" ca="1" si="1"/>
        <v>89</v>
      </c>
      <c r="G5" s="6"/>
      <c r="H5" s="6"/>
      <c r="I5" s="7">
        <v>12</v>
      </c>
      <c r="J5" s="6">
        <f t="shared" si="2"/>
        <v>70</v>
      </c>
    </row>
    <row r="6" spans="1:10" x14ac:dyDescent="0.25">
      <c r="A6" t="s">
        <v>3</v>
      </c>
      <c r="B6" s="7"/>
      <c r="C6" s="5">
        <v>46057</v>
      </c>
      <c r="D6" s="6">
        <v>60</v>
      </c>
      <c r="E6" s="5">
        <f>C6+D6</f>
        <v>46117</v>
      </c>
      <c r="F6" s="6">
        <f t="shared" ca="1" si="1"/>
        <v>114</v>
      </c>
      <c r="G6" s="6">
        <v>32</v>
      </c>
      <c r="H6" s="6"/>
      <c r="I6" s="7">
        <v>15</v>
      </c>
      <c r="J6" s="6">
        <f t="shared" si="2"/>
        <v>38</v>
      </c>
    </row>
  </sheetData>
  <conditionalFormatting sqref="F3:F6">
    <cfRule type="colorScale" priority="1">
      <colorScale>
        <cfvo type="min"/>
        <cfvo type="max"/>
        <color rgb="FFF8696B"/>
        <color theme="5" tint="0.39997558519241921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4782-F089-4846-983C-FFDC7F5874C9}">
  <dimension ref="B2:M8"/>
  <sheetViews>
    <sheetView showGridLines="0" tabSelected="1" topLeftCell="A3" workbookViewId="0">
      <selection activeCell="C7" sqref="C7"/>
    </sheetView>
  </sheetViews>
  <sheetFormatPr defaultRowHeight="15" x14ac:dyDescent="0.25"/>
  <cols>
    <col min="2" max="2" width="27.42578125" customWidth="1"/>
    <col min="3" max="6" width="12.42578125" customWidth="1"/>
    <col min="7" max="7" width="12.42578125" style="1" customWidth="1"/>
    <col min="8" max="10" width="12.42578125" customWidth="1"/>
    <col min="11" max="11" width="30" customWidth="1"/>
  </cols>
  <sheetData>
    <row r="2" spans="2:13" ht="81.75" customHeight="1" x14ac:dyDescent="0.25">
      <c r="B2" s="16" t="s">
        <v>22</v>
      </c>
      <c r="C2" s="9" t="s">
        <v>8</v>
      </c>
      <c r="D2" s="9" t="s">
        <v>9</v>
      </c>
      <c r="E2" s="9" t="s">
        <v>10</v>
      </c>
      <c r="F2" s="9" t="s">
        <v>12</v>
      </c>
      <c r="G2" s="9" t="s">
        <v>20</v>
      </c>
      <c r="H2" s="9" t="s">
        <v>18</v>
      </c>
      <c r="I2" s="9" t="s">
        <v>14</v>
      </c>
      <c r="J2" s="9" t="s">
        <v>23</v>
      </c>
      <c r="K2" s="9" t="s">
        <v>17</v>
      </c>
      <c r="L2" s="9" t="s">
        <v>15</v>
      </c>
    </row>
    <row r="3" spans="2:13" ht="60" customHeight="1" x14ac:dyDescent="0.25">
      <c r="B3" s="10" t="s">
        <v>0</v>
      </c>
      <c r="C3" s="15">
        <v>46010</v>
      </c>
      <c r="D3" s="15">
        <f>C3+30</f>
        <v>46040</v>
      </c>
      <c r="E3" s="13">
        <v>60</v>
      </c>
      <c r="F3" s="15">
        <f t="shared" ref="F3:F5" si="0">D3+E3</f>
        <v>46100</v>
      </c>
      <c r="G3" s="13">
        <v>8</v>
      </c>
      <c r="H3" s="13">
        <f ca="1">Sheet1!F3</f>
        <v>97</v>
      </c>
      <c r="I3" s="14">
        <f>Sheet1!I3</f>
        <v>12</v>
      </c>
      <c r="J3" s="14">
        <v>5</v>
      </c>
      <c r="K3" s="11">
        <f ca="1">H3+I3+J3</f>
        <v>114</v>
      </c>
      <c r="L3" s="12">
        <f>Sheet1!J3</f>
        <v>62</v>
      </c>
      <c r="M3" s="1"/>
    </row>
    <row r="4" spans="2:13" ht="60" customHeight="1" x14ac:dyDescent="0.25">
      <c r="B4" s="10" t="s">
        <v>1</v>
      </c>
      <c r="C4" s="15">
        <v>46029</v>
      </c>
      <c r="D4" s="15">
        <f>C4+30</f>
        <v>46059</v>
      </c>
      <c r="E4" s="13">
        <v>60</v>
      </c>
      <c r="F4" s="15">
        <f t="shared" si="0"/>
        <v>46119</v>
      </c>
      <c r="G4" s="13">
        <v>37</v>
      </c>
      <c r="H4" s="13">
        <f ca="1">Sheet1!F4</f>
        <v>116</v>
      </c>
      <c r="I4" s="14">
        <f>Sheet1!I4</f>
        <v>22</v>
      </c>
      <c r="J4" s="14">
        <v>5</v>
      </c>
      <c r="K4" s="11">
        <f t="shared" ref="K4:K6" ca="1" si="1">H4+I4+J4</f>
        <v>143</v>
      </c>
      <c r="L4" s="12">
        <f>Sheet1!J4</f>
        <v>33</v>
      </c>
      <c r="M4" s="1"/>
    </row>
    <row r="5" spans="2:13" ht="60" customHeight="1" x14ac:dyDescent="0.25">
      <c r="B5" s="10" t="s">
        <v>2</v>
      </c>
      <c r="C5" s="15">
        <v>46002</v>
      </c>
      <c r="D5" s="15">
        <f>C5+30</f>
        <v>46032</v>
      </c>
      <c r="E5" s="13">
        <v>60</v>
      </c>
      <c r="F5" s="15">
        <f t="shared" si="0"/>
        <v>46092</v>
      </c>
      <c r="G5" s="13" t="s">
        <v>21</v>
      </c>
      <c r="H5" s="13">
        <f ca="1">Sheet1!F5</f>
        <v>89</v>
      </c>
      <c r="I5" s="14">
        <f>Sheet1!I5</f>
        <v>12</v>
      </c>
      <c r="J5" s="14">
        <v>5</v>
      </c>
      <c r="K5" s="11">
        <f t="shared" ca="1" si="1"/>
        <v>106</v>
      </c>
      <c r="L5" s="12">
        <f>Sheet1!J5</f>
        <v>70</v>
      </c>
      <c r="M5" s="1"/>
    </row>
    <row r="6" spans="2:13" ht="60" customHeight="1" x14ac:dyDescent="0.25">
      <c r="B6" s="10" t="s">
        <v>3</v>
      </c>
      <c r="C6" s="15" t="s">
        <v>21</v>
      </c>
      <c r="D6" s="15">
        <v>46057</v>
      </c>
      <c r="E6" s="13">
        <v>60</v>
      </c>
      <c r="F6" s="15">
        <f>D6+E6</f>
        <v>46117</v>
      </c>
      <c r="G6" s="13">
        <v>32</v>
      </c>
      <c r="H6" s="13">
        <f ca="1">Sheet1!F6</f>
        <v>114</v>
      </c>
      <c r="I6" s="14">
        <f>Sheet1!I6</f>
        <v>15</v>
      </c>
      <c r="J6" s="14">
        <v>5</v>
      </c>
      <c r="K6" s="11">
        <f ca="1">H6+I6+J6</f>
        <v>134</v>
      </c>
      <c r="L6" s="12">
        <v>38</v>
      </c>
      <c r="M6" s="1"/>
    </row>
    <row r="7" spans="2:13" ht="34.5" customHeight="1" x14ac:dyDescent="0.25">
      <c r="D7" s="18"/>
      <c r="J7" s="17" t="s">
        <v>19</v>
      </c>
      <c r="K7" s="17"/>
    </row>
    <row r="8" spans="2:13" x14ac:dyDescent="0.25">
      <c r="K8" s="1"/>
    </row>
  </sheetData>
  <mergeCells count="1">
    <mergeCell ref="J7:K7"/>
  </mergeCells>
  <conditionalFormatting sqref="K3:K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{E195FAE3-89E9-4BE8-ADE6-36ADEA8DBDF4}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FAE3-89E9-4BE8-ADE6-36ADEA8DBD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K3:K6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Kayhan</dc:creator>
  <cp:lastModifiedBy>Kayhan</cp:lastModifiedBy>
  <dcterms:created xsi:type="dcterms:W3CDTF">2025-12-08T11:56:46Z</dcterms:created>
  <dcterms:modified xsi:type="dcterms:W3CDTF">2025-12-12T08:23:03Z</dcterms:modified>
</cp:coreProperties>
</file>