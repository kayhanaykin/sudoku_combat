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yhan\Desktop\offthebook\planlama\"/>
    </mc:Choice>
  </mc:AlternateContent>
  <xr:revisionPtr revIDLastSave="0" documentId="13_ncr:1_{92B6B8C8-AFD2-4D1F-9214-7EFA2013B83C}" xr6:coauthVersionLast="36" xr6:coauthVersionMax="36" xr10:uidLastSave="{00000000-0000-0000-0000-000000000000}"/>
  <bookViews>
    <workbookView xWindow="0" yWindow="0" windowWidth="28800" windowHeight="12225" tabRatio="757" activeTab="2" xr2:uid="{B84E57A8-0B50-4A63-B41D-F615305B67DC}"/>
  </bookViews>
  <sheets>
    <sheet name="v.18" sheetId="1" r:id="rId1"/>
    <sheet name="Madatory Comparison" sheetId="5" r:id="rId2"/>
    <sheet name="Modules Comparison" sheetId="6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4" i="6" l="1"/>
  <c r="C64" i="6"/>
  <c r="D14" i="5"/>
  <c r="B14" i="5"/>
  <c r="C35" i="1" l="1"/>
</calcChain>
</file>

<file path=xl/sharedStrings.xml><?xml version="1.0" encoding="utf-8"?>
<sst xmlns="http://schemas.openxmlformats.org/spreadsheetml/2006/main" count="181" uniqueCount="174">
  <si>
    <t>Mandatory part</t>
  </si>
  <si>
    <t>Security concerns</t>
  </si>
  <si>
    <t>Modules</t>
  </si>
  <si>
    <t>Game</t>
  </si>
  <si>
    <t>Minimal technical requirement</t>
  </si>
  <si>
    <t>-with or without a backend-pure PHP-Typescript-single-page application-Firefox-Docker</t>
  </si>
  <si>
    <t>Pong Game-two user on same keyboard-tournament system-registration system-user only enter alias during tournament each time-matchmaking-same speed</t>
  </si>
  <si>
    <t>-password stored in DB must be hashed(strong algo) if applicapble, protect against SQL injections/XSS, if backended HTTPS connection-implement validation on forms-site security is critical-.env ignored by git</t>
  </si>
  <si>
    <t>Fastify with Node.js</t>
  </si>
  <si>
    <t>Tailwind CSS</t>
  </si>
  <si>
    <t>SQLite</t>
  </si>
  <si>
    <t>Avalanche (blockchain), Solidity (prog. lang.) - Solidity smart contracts - connected to backend - testing blockchain</t>
  </si>
  <si>
    <t>secure subsrcibe - login - unique display name - update info - avatar with default option - add friends view their online status - display stats - match history</t>
  </si>
  <si>
    <t>OAuth 2.0.</t>
  </si>
  <si>
    <t>consider disconnections or lags</t>
  </si>
  <si>
    <t>-</t>
  </si>
  <si>
    <t xml:space="preserve">features such as power-ups, attacks, etc. - default setup option - menu - </t>
  </si>
  <si>
    <t xml:space="preserve">DMs - block option - invite - notification - access to other player's profile through chat </t>
  </si>
  <si>
    <t>A* algorithm prohibited</t>
  </si>
  <si>
    <t>stats dashboard - game session dashboard</t>
  </si>
  <si>
    <t xml:space="preserve">Web Application Firewall (WAF) - ModSecurity
with a strict and secure configuration - Integrate HashiCorp Vault </t>
  </si>
  <si>
    <t>anonymization of their personal data - Provide tools for users to manage their local data -  permanent deletion of their accounts - easily accessible options</t>
  </si>
  <si>
    <t>Two-Factor Authentication (2FA) - JSON Web Tokens (JWT)</t>
  </si>
  <si>
    <t xml:space="preserve"> Infrastructure Setup with ELK (Elasticsearch, Logstash, Kibana)
for Log Management</t>
  </si>
  <si>
    <t xml:space="preserve"> Prometheus as the monitoring and alerting toolkit - Grafana to provide real-
time insights - set up alerting rules in Prometheus -  </t>
  </si>
  <si>
    <r>
      <t xml:space="preserve">Graphics - </t>
    </r>
    <r>
      <rPr>
        <i/>
        <sz val="11"/>
        <color theme="1"/>
        <rFont val="Calibri"/>
        <family val="2"/>
        <scheme val="minor"/>
      </rPr>
      <t xml:space="preserve">3D techniques </t>
    </r>
    <r>
      <rPr>
        <sz val="11"/>
        <color theme="1"/>
        <rFont val="Calibri"/>
        <family val="2"/>
        <charset val="162"/>
        <scheme val="minor"/>
      </rPr>
      <t>(M)</t>
    </r>
  </si>
  <si>
    <t>Babylon.js</t>
  </si>
  <si>
    <t>responsive - interatct with keyboard and mice</t>
  </si>
  <si>
    <t>Additional web browser</t>
  </si>
  <si>
    <t>min 3 languages</t>
  </si>
  <si>
    <t xml:space="preserve"> support screen reader - alt text, high contrast, keyboard nav. And focus management - text adjusment option</t>
  </si>
  <si>
    <t>Server-Side Rendering (SSR) Integration - SEO</t>
  </si>
  <si>
    <t xml:space="preserve">CLI - responsive game? - </t>
  </si>
  <si>
    <t>CLI app - user authentication with CLI - cross-platform</t>
  </si>
  <si>
    <t>Pts</t>
  </si>
  <si>
    <t xml:space="preserve">Difficulty </t>
  </si>
  <si>
    <t>Time</t>
  </si>
  <si>
    <t>Deepseek</t>
  </si>
  <si>
    <t>Claude</t>
  </si>
  <si>
    <t>Web</t>
  </si>
  <si>
    <t>User Management</t>
  </si>
  <si>
    <t>Gameplay and user experience</t>
  </si>
  <si>
    <t>AI-Algo</t>
  </si>
  <si>
    <t>Cyber security</t>
  </si>
  <si>
    <t xml:space="preserve">Devops </t>
  </si>
  <si>
    <t>Server-SidePong</t>
  </si>
  <si>
    <t xml:space="preserve">Accessibility </t>
  </si>
  <si>
    <r>
      <rPr>
        <i/>
        <sz val="11"/>
        <color theme="1"/>
        <rFont val="Calibri"/>
        <family val="2"/>
        <scheme val="minor"/>
      </rPr>
      <t>backend framework</t>
    </r>
    <r>
      <rPr>
        <sz val="11"/>
        <color theme="1"/>
        <rFont val="Calibri"/>
        <family val="2"/>
        <scheme val="minor"/>
      </rPr>
      <t xml:space="preserve"> (M)</t>
    </r>
  </si>
  <si>
    <t>frontend framework or tool kit</t>
  </si>
  <si>
    <t>DB for backend</t>
  </si>
  <si>
    <r>
      <t>s</t>
    </r>
    <r>
      <rPr>
        <i/>
        <sz val="11"/>
        <color theme="1"/>
        <rFont val="Calibri"/>
        <family val="2"/>
        <scheme val="minor"/>
      </rPr>
      <t xml:space="preserve">tore score in the blockchain </t>
    </r>
    <r>
      <rPr>
        <sz val="11"/>
        <color theme="1"/>
        <rFont val="Calibri"/>
        <family val="2"/>
        <scheme val="minor"/>
      </rPr>
      <t>(M)</t>
    </r>
  </si>
  <si>
    <r>
      <t>s</t>
    </r>
    <r>
      <rPr>
        <i/>
        <sz val="11"/>
        <color theme="1"/>
        <rFont val="Calibri"/>
        <family val="2"/>
        <scheme val="minor"/>
      </rPr>
      <t xml:space="preserve">tandart user management </t>
    </r>
    <r>
      <rPr>
        <sz val="11"/>
        <color theme="1"/>
        <rFont val="Calibri"/>
        <family val="2"/>
        <scheme val="minor"/>
      </rPr>
      <t>(M)</t>
    </r>
  </si>
  <si>
    <r>
      <t>r</t>
    </r>
    <r>
      <rPr>
        <i/>
        <sz val="11"/>
        <color theme="1"/>
        <rFont val="Calibri"/>
        <family val="2"/>
        <scheme val="minor"/>
      </rPr>
      <t>emote authentication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</si>
  <si>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rPr>
        <i/>
        <sz val="11"/>
        <color theme="1"/>
        <rFont val="Calibri"/>
        <family val="2"/>
        <scheme val="minor"/>
      </rPr>
      <t xml:space="preserve">Remote Players </t>
    </r>
    <r>
      <rPr>
        <sz val="11"/>
        <color theme="1"/>
        <rFont val="Calibri"/>
        <family val="2"/>
        <scheme val="minor"/>
      </rPr>
      <t>(M)</t>
    </r>
  </si>
  <si>
    <r>
      <rPr>
        <i/>
        <sz val="11"/>
        <color theme="1"/>
        <rFont val="Calibri"/>
        <family val="2"/>
        <scheme val="minor"/>
      </rPr>
      <t xml:space="preserve">Multiple Players </t>
    </r>
    <r>
      <rPr>
        <sz val="11"/>
        <color theme="1"/>
        <rFont val="Calibri"/>
        <family val="2"/>
        <scheme val="minor"/>
      </rPr>
      <t>(M)</t>
    </r>
  </si>
  <si>
    <r>
      <rPr>
        <i/>
        <sz val="11"/>
        <color theme="1"/>
        <rFont val="Calibri"/>
        <family val="2"/>
        <scheme val="minor"/>
      </rPr>
      <t xml:space="preserve">Another Game </t>
    </r>
    <r>
      <rPr>
        <sz val="11"/>
        <color theme="1"/>
        <rFont val="Calibri"/>
        <family val="2"/>
        <scheme val="minor"/>
      </rPr>
      <t>(M)</t>
    </r>
  </si>
  <si>
    <t>Game Custumization Options</t>
  </si>
  <si>
    <r>
      <rPr>
        <i/>
        <sz val="11"/>
        <color theme="1"/>
        <rFont val="Calibri"/>
        <family val="2"/>
        <scheme val="minor"/>
      </rPr>
      <t xml:space="preserve">Live Chat </t>
    </r>
    <r>
      <rPr>
        <sz val="11"/>
        <color theme="1"/>
        <rFont val="Calibri"/>
        <family val="2"/>
        <scheme val="minor"/>
      </rPr>
      <t>(M)</t>
    </r>
  </si>
  <si>
    <r>
      <rPr>
        <i/>
        <sz val="11"/>
        <color theme="1"/>
        <rFont val="Calibri"/>
        <family val="2"/>
        <scheme val="minor"/>
      </rPr>
      <t>Introduce an AI opponent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</si>
  <si>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t>User and Game Stats Dashboards</t>
  </si>
  <si>
    <r>
      <rPr>
        <i/>
        <sz val="11"/>
        <color theme="1"/>
        <rFont val="Calibri"/>
        <family val="2"/>
        <scheme val="minor"/>
      </rPr>
      <t>WAF/ModSecurity and Vault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</si>
  <si>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t>GDPR Complaince Options</t>
  </si>
  <si>
    <r>
      <rPr>
        <i/>
        <sz val="11"/>
        <color theme="1"/>
        <rFont val="Calibri"/>
        <family val="2"/>
        <scheme val="minor"/>
      </rPr>
      <t>2FA and JWT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</si>
  <si>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rPr>
        <i/>
        <sz val="11"/>
        <color theme="1"/>
        <rFont val="Calibri"/>
        <family val="2"/>
        <scheme val="minor"/>
      </rPr>
      <t xml:space="preserve">Infrastructure Setup with ELK </t>
    </r>
    <r>
      <rPr>
        <sz val="11"/>
        <color theme="1"/>
        <rFont val="Calibri"/>
        <family val="2"/>
        <scheme val="minor"/>
      </rPr>
      <t>(M)</t>
    </r>
  </si>
  <si>
    <r>
      <t>m</t>
    </r>
    <r>
      <rPr>
        <i/>
        <sz val="11"/>
        <color theme="1"/>
        <rFont val="Calibri"/>
        <family val="2"/>
        <scheme val="minor"/>
      </rPr>
      <t>onitoring system</t>
    </r>
  </si>
  <si>
    <r>
      <t>b</t>
    </r>
    <r>
      <rPr>
        <i/>
        <sz val="11"/>
        <color theme="1"/>
        <rFont val="Calibri"/>
        <family val="2"/>
        <scheme val="minor"/>
      </rPr>
      <t>ackend as microservices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</si>
  <si>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t>s</t>
    </r>
    <r>
      <rPr>
        <i/>
        <sz val="11"/>
        <color theme="1"/>
        <rFont val="Calibri"/>
        <family val="2"/>
        <scheme val="minor"/>
      </rPr>
      <t>upport on all devices</t>
    </r>
  </si>
  <si>
    <r>
      <t>e</t>
    </r>
    <r>
      <rPr>
        <i/>
        <sz val="11"/>
        <color theme="1"/>
        <rFont val="Calibri"/>
        <family val="2"/>
        <scheme val="minor"/>
      </rPr>
      <t>xpanding browser Compatibility</t>
    </r>
  </si>
  <si>
    <r>
      <t>m</t>
    </r>
    <r>
      <rPr>
        <i/>
        <sz val="11"/>
        <color theme="1"/>
        <rFont val="Calibri"/>
        <family val="2"/>
        <scheme val="minor"/>
      </rPr>
      <t>ultiple language support</t>
    </r>
  </si>
  <si>
    <t>visually impaired</t>
  </si>
  <si>
    <t>SSR</t>
  </si>
  <si>
    <r>
      <rPr>
        <i/>
        <sz val="11"/>
        <color theme="1"/>
        <rFont val="Calibri"/>
        <family val="2"/>
        <scheme val="minor"/>
      </rPr>
      <t>Implement an API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</si>
  <si>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rPr>
        <i/>
        <sz val="11"/>
        <color theme="1"/>
        <rFont val="Calibri"/>
        <family val="2"/>
        <scheme val="minor"/>
      </rPr>
      <t>CLI vs Web User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</si>
  <si>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t>G.</t>
  </si>
  <si>
    <t>Team Roles</t>
  </si>
  <si>
    <t>v19</t>
  </si>
  <si>
    <t xml:space="preserve">Readme Requirements </t>
  </si>
  <si>
    <t>General Requirements</t>
  </si>
  <si>
    <t>Technical Requirements</t>
  </si>
  <si>
    <r>
      <t xml:space="preserve">frontend, backend, and a
database - </t>
    </r>
    <r>
      <rPr>
        <b/>
        <i/>
        <sz val="11"/>
        <color theme="1"/>
        <rFont val="Calibri"/>
        <family val="2"/>
        <scheme val="minor"/>
      </rPr>
      <t xml:space="preserve">Github commits from all team members - </t>
    </r>
    <r>
      <rPr>
        <i/>
        <sz val="11"/>
        <color theme="1"/>
        <rFont val="Calibri"/>
        <family val="2"/>
        <scheme val="minor"/>
      </rPr>
      <t>Containerized deployment - Privacy Policy Terms of Services - Multi-User Support</t>
    </r>
  </si>
  <si>
    <t>Responsive frontend - CSS framework or styling solution (e.g., Tailwind CSS) - local .env - user management system - email &amp; password auth. - inputs must be properly validated in both the frontend and backend - https</t>
  </si>
  <si>
    <t>Given your focus on performance and minimalism (e.g., replacing Vue, reducing JS/CSS weight), YUI CSS / Pure.css is very aligned with your philosophy.</t>
  </si>
  <si>
    <t>Remote Players</t>
  </si>
  <si>
    <t>Blockchain</t>
  </si>
  <si>
    <t>Typescript</t>
  </si>
  <si>
    <t>Single page app</t>
  </si>
  <si>
    <t>Docker</t>
  </si>
  <si>
    <t>Pong Game</t>
  </si>
  <si>
    <t>Tournament System</t>
  </si>
  <si>
    <t>Registration System</t>
  </si>
  <si>
    <t>Matchmaking System</t>
  </si>
  <si>
    <t>HTTPS connection to backend</t>
  </si>
  <si>
    <t>Validation at frontend and backend</t>
  </si>
  <si>
    <t>Website Security</t>
  </si>
  <si>
    <t>Documentation</t>
  </si>
  <si>
    <t>ReadMe</t>
  </si>
  <si>
    <t>Backend optional</t>
  </si>
  <si>
    <t>Backend mandatory</t>
  </si>
  <si>
    <t>Git commit from all members</t>
  </si>
  <si>
    <t>One Website Compatibility</t>
  </si>
  <si>
    <t>No warnings or errors should appear in the browser console</t>
  </si>
  <si>
    <t>Privacy Policy &amp; Terms of Service</t>
  </si>
  <si>
    <t>Multi-user support</t>
  </si>
  <si>
    <t>Responsive Frontend</t>
  </si>
  <si>
    <t>CSS framework or styling solution</t>
  </si>
  <si>
    <t>Store credentials in a local .env</t>
  </si>
  <si>
    <t>User management system</t>
  </si>
  <si>
    <t>Password hashed, salted</t>
  </si>
  <si>
    <t>pts</t>
  </si>
  <si>
    <t>SQL injections/XSS attacks</t>
  </si>
  <si>
    <t>DB schema &amp; relations</t>
  </si>
  <si>
    <t>Mandatory PART - Extras</t>
  </si>
  <si>
    <t>V18 Extras</t>
  </si>
  <si>
    <t>V19 Extras</t>
  </si>
  <si>
    <t>Backend Framework</t>
  </si>
  <si>
    <t>Frontend Framework</t>
  </si>
  <si>
    <t>DB</t>
  </si>
  <si>
    <t>Websockets</t>
  </si>
  <si>
    <t>Public API</t>
  </si>
  <si>
    <t>Notification System</t>
  </si>
  <si>
    <t>Progressive Web App</t>
  </si>
  <si>
    <t>Standart User Management</t>
  </si>
  <si>
    <t>DB ORM</t>
  </si>
  <si>
    <t>Store Score İn Blockchain</t>
  </si>
  <si>
    <t>Collaborative Features</t>
  </si>
  <si>
    <t>Custom-Made Design System</t>
  </si>
  <si>
    <t>Advanced Search</t>
  </si>
  <si>
    <t>File Upload</t>
  </si>
  <si>
    <t xml:space="preserve">Remote Auth. </t>
  </si>
  <si>
    <t>Permission Sys.</t>
  </si>
  <si>
    <t xml:space="preserve">Organization Sys. </t>
  </si>
  <si>
    <t>Multiplayer</t>
  </si>
  <si>
    <t>Second Game</t>
  </si>
  <si>
    <t>Game Options</t>
  </si>
  <si>
    <t>Live Chat/User Interaction</t>
  </si>
  <si>
    <t>First Game</t>
  </si>
  <si>
    <t>3D Graphics</t>
  </si>
  <si>
    <t>Additional Chat Features</t>
  </si>
  <si>
    <t>Tournament/Matchmaking/Reg. Sys.</t>
  </si>
  <si>
    <t>Gamification Sys.</t>
  </si>
  <si>
    <t>Spectator Mode</t>
  </si>
  <si>
    <t>Gameplay and User Exp/Graphics</t>
  </si>
  <si>
    <t>AI Opponent</t>
  </si>
  <si>
    <t>Game Stats. &amp; Dashboard</t>
  </si>
  <si>
    <t>RAG</t>
  </si>
  <si>
    <t>LLM</t>
  </si>
  <si>
    <t>ML</t>
  </si>
  <si>
    <t>Content Moderation AI</t>
  </si>
  <si>
    <t>Voice/Speech</t>
  </si>
  <si>
    <t>Semantic Analysis</t>
  </si>
  <si>
    <t>Image Recognition</t>
  </si>
  <si>
    <t>CyberSecurity</t>
  </si>
  <si>
    <t>ModSecurity &amp; HashiCorp Vault</t>
  </si>
  <si>
    <t>GDPR</t>
  </si>
  <si>
    <t>2FA &amp; JWT</t>
  </si>
  <si>
    <t>Devops</t>
  </si>
  <si>
    <t>Log Management</t>
  </si>
  <si>
    <t>Monitoring Sys.</t>
  </si>
  <si>
    <t>Microservices</t>
  </si>
  <si>
    <t>Accessibility</t>
  </si>
  <si>
    <t>Responsive</t>
  </si>
  <si>
    <t>Browser Compatibility</t>
  </si>
  <si>
    <t>Multiple Languages</t>
  </si>
  <si>
    <t xml:space="preserve">Accessibility Compliance </t>
  </si>
  <si>
    <t>RTL</t>
  </si>
  <si>
    <t>CLI against Web user</t>
  </si>
  <si>
    <t>SSR Game</t>
  </si>
  <si>
    <t>Data &amp; Analytics</t>
  </si>
  <si>
    <t>Data export &amp; import</t>
  </si>
  <si>
    <t>ICP</t>
  </si>
  <si>
    <t>Minor: 1 Major: 2</t>
  </si>
  <si>
    <t>v.18</t>
  </si>
  <si>
    <t>v.19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</si>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</sst>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</numFmts>
  <fonts count="9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charset val="162"/>
      <scheme val="minor"/>
    </font>
    <font>
      <sz val="11"/>
      <color theme="0" tint="-0.34998626667073579"/>
      <name val="Calibri"/>
      <family val="2"/>
      <charset val="16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quotePrefix="1" applyFont="1" applyAlignment="1">
      <alignment horizontal="center" vertical="center" wrapText="1"/>
    </xf>
    <xf numFmtId="0" fontId="0" fillId="0" borderId="0" xfId="0" applyAlignment="1">
      <alignment horizontal="left" vertical="center" wrapText="1" indent="1"/>
    </xf>
    <xf numFmtId="164" fontId="0" fillId="0" borderId="0" xfId="1" applyNumberFormat="1" applyFont="1" applyAlignment="1">
      <alignment horizontal="right" vertical="center" wrapText="1" indent="3"/>
    </xf>
    <xf numFmtId="164" fontId="1" fillId="0" borderId="0" xfId="1" applyNumberFormat="1" applyFont="1" applyAlignment="1">
      <alignment horizontal="center" vertical="center" wrapText="1"/>
    </xf>
    <xf numFmtId="165" fontId="0" fillId="0" borderId="0" xfId="1" applyNumberFormat="1" applyFont="1" applyAlignment="1">
      <alignment horizontal="right" vertical="center" wrapText="1" indent="3"/>
    </xf>
    <xf numFmtId="0" fontId="1" fillId="0" borderId="1" xfId="0" applyFont="1" applyBorder="1" applyAlignment="1">
      <alignment horizontal="left" vertical="center" wrapText="1" indent="1"/>
    </xf>
    <xf numFmtId="164" fontId="1" fillId="0" borderId="1" xfId="1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0" borderId="1" xfId="1" applyNumberFormat="1" applyFont="1" applyBorder="1" applyAlignment="1">
      <alignment horizontal="right" vertical="center" wrapText="1" indent="3"/>
    </xf>
    <xf numFmtId="165" fontId="1" fillId="0" borderId="1" xfId="1" applyNumberFormat="1" applyFont="1" applyBorder="1" applyAlignment="1">
      <alignment horizontal="right" vertical="center" wrapText="1" indent="3"/>
    </xf>
    <xf numFmtId="0" fontId="2" fillId="0" borderId="1" xfId="0" quotePrefix="1" applyFont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3" fillId="0" borderId="0" xfId="0" applyFont="1" applyBorder="1" applyAlignment="1">
      <alignment horizontal="left" vertical="center" wrapText="1" indent="1"/>
    </xf>
    <xf numFmtId="164" fontId="3" fillId="0" borderId="0" xfId="1" applyNumberFormat="1" applyFont="1" applyBorder="1" applyAlignment="1">
      <alignment horizontal="right" vertical="center" wrapText="1" indent="3"/>
    </xf>
    <xf numFmtId="165" fontId="3" fillId="0" borderId="0" xfId="1" applyNumberFormat="1" applyFont="1" applyBorder="1" applyAlignment="1">
      <alignment horizontal="right" vertical="center" wrapText="1" indent="3"/>
    </xf>
    <xf numFmtId="0" fontId="2" fillId="0" borderId="0" xfId="0" quotePrefix="1" applyFont="1" applyBorder="1" applyAlignment="1">
      <alignment horizontal="center" vertical="center" wrapText="1"/>
    </xf>
    <xf numFmtId="0" fontId="2" fillId="0" borderId="0" xfId="0" applyFont="1" applyBorder="1" applyAlignment="1">
      <alignment horizontal="left" vertical="center" wrapText="1" indent="1"/>
    </xf>
    <xf numFmtId="164" fontId="0" fillId="0" borderId="0" xfId="1" applyNumberFormat="1" applyFont="1" applyBorder="1" applyAlignment="1">
      <alignment horizontal="right" vertical="center" wrapText="1" indent="3"/>
    </xf>
    <xf numFmtId="165" fontId="0" fillId="0" borderId="0" xfId="1" applyNumberFormat="1" applyFont="1" applyBorder="1" applyAlignment="1">
      <alignment horizontal="right" vertical="center" wrapText="1" indent="3"/>
    </xf>
    <xf numFmtId="0" fontId="0" fillId="0" borderId="1" xfId="0" applyBorder="1" applyAlignment="1">
      <alignment horizontal="left" vertical="center" wrapText="1" indent="1"/>
    </xf>
    <xf numFmtId="164" fontId="0" fillId="0" borderId="1" xfId="1" applyNumberFormat="1" applyFont="1" applyBorder="1" applyAlignment="1">
      <alignment horizontal="right" vertical="center" wrapText="1" indent="3"/>
    </xf>
    <xf numFmtId="165" fontId="0" fillId="0" borderId="1" xfId="1" applyNumberFormat="1" applyFont="1" applyBorder="1" applyAlignment="1">
      <alignment horizontal="right" vertical="center" wrapText="1" indent="3"/>
    </xf>
    <xf numFmtId="0" fontId="0" fillId="0" borderId="3" xfId="0" applyBorder="1" applyAlignment="1">
      <alignment horizontal="left" vertical="center" wrapText="1" indent="1"/>
    </xf>
    <xf numFmtId="164" fontId="0" fillId="0" borderId="3" xfId="1" applyNumberFormat="1" applyFont="1" applyBorder="1" applyAlignment="1">
      <alignment horizontal="right" vertical="center" wrapText="1" indent="3"/>
    </xf>
    <xf numFmtId="165" fontId="0" fillId="0" borderId="3" xfId="1" applyNumberFormat="1" applyFont="1" applyBorder="1" applyAlignment="1">
      <alignment horizontal="right" vertical="center" wrapText="1" indent="3"/>
    </xf>
    <xf numFmtId="0" fontId="2" fillId="0" borderId="3" xfId="0" quotePrefix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2" fillId="0" borderId="1" xfId="0" applyFont="1" applyBorder="1" applyAlignment="1">
      <alignment horizontal="left" vertical="center" wrapText="1" indent="1"/>
    </xf>
    <xf numFmtId="0" fontId="0" fillId="0" borderId="0" xfId="0" applyBorder="1" applyAlignment="1">
      <alignment horizontal="left" vertical="center" wrapText="1" indent="1"/>
    </xf>
    <xf numFmtId="0" fontId="1" fillId="0" borderId="2" xfId="0" applyFont="1" applyBorder="1" applyAlignment="1">
      <alignment horizontal="right" vertical="center" textRotation="90" wrapText="1"/>
    </xf>
    <xf numFmtId="0" fontId="0" fillId="0" borderId="2" xfId="0" applyBorder="1" applyAlignment="1">
      <alignment horizontal="left" vertical="center" wrapText="1" indent="1"/>
    </xf>
    <xf numFmtId="164" fontId="0" fillId="0" borderId="2" xfId="1" applyNumberFormat="1" applyFont="1" applyBorder="1" applyAlignment="1">
      <alignment horizontal="right" vertical="center" wrapText="1" indent="3"/>
    </xf>
    <xf numFmtId="165" fontId="0" fillId="0" borderId="2" xfId="1" applyNumberFormat="1" applyFont="1" applyBorder="1" applyAlignment="1">
      <alignment horizontal="right" vertical="center" wrapText="1" indent="3"/>
    </xf>
    <xf numFmtId="0" fontId="2" fillId="0" borderId="2" xfId="0" quotePrefix="1" applyFont="1" applyBorder="1" applyAlignment="1">
      <alignment horizontal="center" vertical="center" wrapText="1"/>
    </xf>
    <xf numFmtId="164" fontId="1" fillId="0" borderId="0" xfId="1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Border="1"/>
    <xf numFmtId="0" fontId="7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left" indent="1"/>
    </xf>
    <xf numFmtId="0" fontId="1" fillId="0" borderId="4" xfId="0" applyFont="1" applyBorder="1" applyAlignment="1">
      <alignment horizontal="center" vertical="center"/>
    </xf>
    <xf numFmtId="0" fontId="1" fillId="0" borderId="0" xfId="0" applyFont="1"/>
    <xf numFmtId="0" fontId="8" fillId="0" borderId="0" xfId="0" applyFont="1"/>
    <xf numFmtId="0" fontId="6" fillId="0" borderId="0" xfId="0" applyFont="1"/>
    <xf numFmtId="0" fontId="3" fillId="0" borderId="0" xfId="0" applyFont="1"/>
    <xf numFmtId="0" fontId="7" fillId="0" borderId="0" xfId="0" applyFont="1"/>
    <xf numFmtId="0" fontId="1" fillId="0" borderId="3" xfId="0" applyFont="1" applyBorder="1" applyAlignment="1">
      <alignment horizontal="right" vertical="center" textRotation="90" wrapText="1"/>
    </xf>
    <xf numFmtId="0" fontId="1" fillId="0" borderId="1" xfId="0" applyFont="1" applyBorder="1" applyAlignment="1">
      <alignment horizontal="right" vertical="center" textRotation="90" wrapText="1"/>
    </xf>
    <xf numFmtId="0" fontId="1" fillId="0" borderId="0" xfId="0" applyFont="1" applyBorder="1" applyAlignment="1">
      <alignment horizontal="right" vertical="center" textRotation="90" wrapText="1"/>
    </xf>
    <xf numFmtId="0" fontId="7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A8DE7-CA54-4A61-8006-505D92EB2EAC}">
  <dimension ref="A2:K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3" sqref="D3:E3"/>
    </sheetView>
  </sheetViews>
  <sheetFormatPr defaultColWidth="30.42578125" defaultRowHeight="15" x14ac:dyDescent="0.25"/>
  <cols>
    <col min="1" max="1" width="8.5703125" style="13" customWidth="1"/>
    <col min="2" max="2" width="38.85546875" style="3" bestFit="1" customWidth="1"/>
    <col min="3" max="7" width="10.5703125" style="4" customWidth="1"/>
    <col min="8" max="8" width="73" style="1" customWidth="1"/>
    <col min="9" max="9" width="30.28515625" customWidth="1"/>
    <col min="10" max="10" width="57.42578125" customWidth="1"/>
    <col min="11" max="11" width="42.5703125" customWidth="1"/>
  </cols>
  <sheetData>
    <row r="2" spans="1:11" x14ac:dyDescent="0.25">
      <c r="D2" s="5" t="s">
        <v>37</v>
      </c>
      <c r="F2" s="5" t="s">
        <v>38</v>
      </c>
    </row>
    <row r="3" spans="1:11" x14ac:dyDescent="0.25">
      <c r="B3" s="7" t="s">
        <v>0</v>
      </c>
      <c r="C3" s="8" t="s">
        <v>34</v>
      </c>
      <c r="D3" s="8" t="s">
        <v>35</v>
      </c>
      <c r="E3" s="8" t="s">
        <v>36</v>
      </c>
      <c r="F3" s="8" t="s">
        <v>35</v>
      </c>
      <c r="G3" s="8" t="s">
        <v>36</v>
      </c>
      <c r="H3" s="9"/>
      <c r="I3" s="37" t="s">
        <v>75</v>
      </c>
    </row>
    <row r="4" spans="1:11" ht="63" customHeight="1" x14ac:dyDescent="0.25">
      <c r="B4" s="3" t="s">
        <v>4</v>
      </c>
      <c r="C4" s="4">
        <v>0</v>
      </c>
      <c r="D4" s="6">
        <v>30</v>
      </c>
      <c r="E4" s="6">
        <v>40</v>
      </c>
      <c r="F4" s="6">
        <v>40</v>
      </c>
      <c r="G4" s="6">
        <v>35</v>
      </c>
      <c r="H4" s="2" t="s">
        <v>5</v>
      </c>
      <c r="I4" t="s">
        <v>76</v>
      </c>
      <c r="J4" s="2"/>
    </row>
    <row r="5" spans="1:11" ht="63" customHeight="1" x14ac:dyDescent="0.25">
      <c r="B5" s="3" t="s">
        <v>3</v>
      </c>
      <c r="C5" s="4">
        <v>0</v>
      </c>
      <c r="D5" s="6">
        <v>45</v>
      </c>
      <c r="E5" s="6">
        <v>60</v>
      </c>
      <c r="F5" s="6">
        <v>45</v>
      </c>
      <c r="G5" s="6">
        <v>40</v>
      </c>
      <c r="H5" s="2" t="s">
        <v>6</v>
      </c>
      <c r="I5" t="s">
        <v>77</v>
      </c>
      <c r="J5" s="2" t="s">
        <v>79</v>
      </c>
    </row>
    <row r="6" spans="1:11" ht="63" customHeight="1" x14ac:dyDescent="0.25">
      <c r="B6" s="3" t="s">
        <v>1</v>
      </c>
      <c r="C6" s="4">
        <v>0</v>
      </c>
      <c r="D6" s="6">
        <v>35</v>
      </c>
      <c r="E6" s="6">
        <v>25</v>
      </c>
      <c r="F6" s="6">
        <v>50</v>
      </c>
      <c r="G6" s="6">
        <v>30</v>
      </c>
      <c r="H6" s="2" t="s">
        <v>7</v>
      </c>
      <c r="I6" t="s">
        <v>78</v>
      </c>
      <c r="J6" s="2" t="s">
        <v>80</v>
      </c>
      <c r="K6" s="2" t="s">
        <v>81</v>
      </c>
    </row>
    <row r="7" spans="1:11" x14ac:dyDescent="0.25">
      <c r="B7" s="7" t="s">
        <v>2</v>
      </c>
      <c r="C7" s="10"/>
      <c r="D7" s="11"/>
      <c r="E7" s="11"/>
      <c r="F7" s="11"/>
      <c r="G7" s="11"/>
      <c r="H7" s="12"/>
      <c r="K7" s="2"/>
    </row>
    <row r="8" spans="1:11" ht="39.950000000000003" customHeight="1" x14ac:dyDescent="0.25">
      <c r="A8" s="50" t="s">
        <v>39</v>
      </c>
      <c r="B8" s="14" t="s">
        <v>47</v>
      </c>
      <c r="C8" s="15">
        <v>1</v>
      </c>
      <c r="D8" s="16">
        <v>40</v>
      </c>
      <c r="E8" s="16">
        <v>50</v>
      </c>
      <c r="F8" s="16">
        <v>55</v>
      </c>
      <c r="G8" s="16">
        <v>50</v>
      </c>
      <c r="H8" s="17" t="s">
        <v>8</v>
      </c>
    </row>
    <row r="9" spans="1:11" ht="39.950000000000003" customHeight="1" x14ac:dyDescent="0.25">
      <c r="A9" s="50"/>
      <c r="B9" s="18" t="s">
        <v>48</v>
      </c>
      <c r="C9" s="19">
        <v>0.5</v>
      </c>
      <c r="D9" s="20">
        <v>25</v>
      </c>
      <c r="E9" s="20">
        <v>35</v>
      </c>
      <c r="F9" s="20">
        <v>25</v>
      </c>
      <c r="G9" s="20">
        <v>20</v>
      </c>
      <c r="H9" s="17" t="s">
        <v>9</v>
      </c>
    </row>
    <row r="10" spans="1:11" ht="39.950000000000003" customHeight="1" x14ac:dyDescent="0.25">
      <c r="A10" s="50"/>
      <c r="B10" s="18" t="s">
        <v>49</v>
      </c>
      <c r="C10" s="19">
        <v>0.5</v>
      </c>
      <c r="D10" s="20">
        <v>20</v>
      </c>
      <c r="E10" s="20">
        <v>15</v>
      </c>
      <c r="F10" s="20">
        <v>35</v>
      </c>
      <c r="G10" s="20">
        <v>30</v>
      </c>
      <c r="H10" s="17" t="s">
        <v>10</v>
      </c>
    </row>
    <row r="11" spans="1:11" ht="39.950000000000003" customHeight="1" x14ac:dyDescent="0.25">
      <c r="A11" s="49"/>
      <c r="B11" s="21" t="s">
        <v>50</v>
      </c>
      <c r="C11" s="22">
        <v>1</v>
      </c>
      <c r="D11" s="23">
        <v>90</v>
      </c>
      <c r="E11" s="23">
        <v>95</v>
      </c>
      <c r="F11" s="23">
        <v>95</v>
      </c>
      <c r="G11" s="23">
        <v>100</v>
      </c>
      <c r="H11" s="12" t="s">
        <v>11</v>
      </c>
    </row>
    <row r="12" spans="1:11" ht="39.950000000000003" customHeight="1" x14ac:dyDescent="0.25">
      <c r="A12" s="48" t="s">
        <v>40</v>
      </c>
      <c r="B12" s="24" t="s">
        <v>51</v>
      </c>
      <c r="C12" s="25">
        <v>1</v>
      </c>
      <c r="D12" s="26">
        <v>55</v>
      </c>
      <c r="E12" s="26">
        <v>70</v>
      </c>
      <c r="F12" s="26">
        <v>60</v>
      </c>
      <c r="G12" s="26">
        <v>55</v>
      </c>
      <c r="H12" s="27" t="s">
        <v>12</v>
      </c>
    </row>
    <row r="13" spans="1:11" ht="39.950000000000003" customHeight="1" x14ac:dyDescent="0.25">
      <c r="A13" s="49"/>
      <c r="B13" s="21" t="s">
        <v>52</v>
      </c>
      <c r="C13" s="22">
        <v>1</v>
      </c>
      <c r="D13" s="23">
        <v>50</v>
      </c>
      <c r="E13" s="23">
        <v>45</v>
      </c>
      <c r="F13" s="23">
        <v>65</v>
      </c>
      <c r="G13" s="23">
        <v>50</v>
      </c>
      <c r="H13" s="12" t="s">
        <v>13</v>
      </c>
    </row>
    <row r="14" spans="1:11" ht="39.950000000000003" customHeight="1" x14ac:dyDescent="0.25">
      <c r="A14" s="48" t="s">
        <v>41</v>
      </c>
      <c r="B14" s="28" t="s">
        <v>53</v>
      </c>
      <c r="C14" s="25">
        <v>1</v>
      </c>
      <c r="D14" s="26">
        <v>85</v>
      </c>
      <c r="E14" s="26">
        <v>80</v>
      </c>
      <c r="F14" s="26">
        <v>75</v>
      </c>
      <c r="G14" s="26">
        <v>70</v>
      </c>
      <c r="H14" s="27" t="s">
        <v>14</v>
      </c>
    </row>
    <row r="15" spans="1:11" ht="39.950000000000003" customHeight="1" x14ac:dyDescent="0.25">
      <c r="A15" s="50"/>
      <c r="B15" s="14" t="s">
        <v>54</v>
      </c>
      <c r="C15" s="19">
        <v>1</v>
      </c>
      <c r="D15" s="20">
        <v>80</v>
      </c>
      <c r="E15" s="20">
        <v>75</v>
      </c>
      <c r="F15" s="20">
        <v>80</v>
      </c>
      <c r="G15" s="20">
        <v>75</v>
      </c>
      <c r="H15" s="17" t="s">
        <v>15</v>
      </c>
    </row>
    <row r="16" spans="1:11" ht="39.950000000000003" customHeight="1" x14ac:dyDescent="0.25">
      <c r="A16" s="50"/>
      <c r="B16" s="14" t="s">
        <v>55</v>
      </c>
      <c r="C16" s="19">
        <v>1</v>
      </c>
      <c r="D16" s="20">
        <v>85</v>
      </c>
      <c r="E16" s="20">
        <v>90</v>
      </c>
      <c r="F16" s="20">
        <v>70</v>
      </c>
      <c r="G16" s="20">
        <v>80</v>
      </c>
      <c r="H16" s="17"/>
    </row>
    <row r="17" spans="1:8" ht="39.950000000000003" customHeight="1" x14ac:dyDescent="0.25">
      <c r="A17" s="50"/>
      <c r="B17" s="18" t="s">
        <v>56</v>
      </c>
      <c r="C17" s="19">
        <v>0.5</v>
      </c>
      <c r="D17" s="20">
        <v>45</v>
      </c>
      <c r="E17" s="20">
        <v>50</v>
      </c>
      <c r="F17" s="20">
        <v>40</v>
      </c>
      <c r="G17" s="20">
        <v>35</v>
      </c>
      <c r="H17" s="17" t="s">
        <v>16</v>
      </c>
    </row>
    <row r="18" spans="1:8" ht="39.950000000000003" customHeight="1" x14ac:dyDescent="0.25">
      <c r="A18" s="49"/>
      <c r="B18" s="29" t="s">
        <v>57</v>
      </c>
      <c r="C18" s="22">
        <v>0.5</v>
      </c>
      <c r="D18" s="23">
        <v>65</v>
      </c>
      <c r="E18" s="23">
        <v>60</v>
      </c>
      <c r="F18" s="23">
        <v>55</v>
      </c>
      <c r="G18" s="23">
        <v>45</v>
      </c>
      <c r="H18" s="12" t="s">
        <v>17</v>
      </c>
    </row>
    <row r="19" spans="1:8" ht="39.950000000000003" customHeight="1" x14ac:dyDescent="0.25">
      <c r="A19" s="48" t="s">
        <v>42</v>
      </c>
      <c r="B19" s="28" t="s">
        <v>58</v>
      </c>
      <c r="C19" s="25">
        <v>1</v>
      </c>
      <c r="D19" s="26">
        <v>70</v>
      </c>
      <c r="E19" s="26">
        <v>65</v>
      </c>
      <c r="F19" s="26">
        <v>70</v>
      </c>
      <c r="G19" s="26">
        <v>60</v>
      </c>
      <c r="H19" s="27" t="s">
        <v>18</v>
      </c>
    </row>
    <row r="20" spans="1:8" ht="39.950000000000003" customHeight="1" x14ac:dyDescent="0.25">
      <c r="A20" s="49"/>
      <c r="B20" s="30" t="s">
        <v>59</v>
      </c>
      <c r="C20" s="22">
        <v>0.5</v>
      </c>
      <c r="D20" s="23">
        <v>35</v>
      </c>
      <c r="E20" s="23">
        <v>40</v>
      </c>
      <c r="F20" s="23">
        <v>35</v>
      </c>
      <c r="G20" s="23">
        <v>30</v>
      </c>
      <c r="H20" s="12" t="s">
        <v>19</v>
      </c>
    </row>
    <row r="21" spans="1:8" ht="39.950000000000003" customHeight="1" x14ac:dyDescent="0.25">
      <c r="A21" s="48" t="s">
        <v>43</v>
      </c>
      <c r="B21" s="28" t="s">
        <v>60</v>
      </c>
      <c r="C21" s="25">
        <v>1</v>
      </c>
      <c r="D21" s="26">
        <v>95</v>
      </c>
      <c r="E21" s="26">
        <v>85</v>
      </c>
      <c r="F21" s="26">
        <v>85</v>
      </c>
      <c r="G21" s="26">
        <v>65</v>
      </c>
      <c r="H21" s="27" t="s">
        <v>20</v>
      </c>
    </row>
    <row r="22" spans="1:8" ht="39.950000000000003" customHeight="1" x14ac:dyDescent="0.25">
      <c r="A22" s="50"/>
      <c r="B22" s="18" t="s">
        <v>61</v>
      </c>
      <c r="C22" s="19">
        <v>0.5</v>
      </c>
      <c r="D22" s="20">
        <v>50</v>
      </c>
      <c r="E22" s="20">
        <v>45</v>
      </c>
      <c r="F22" s="20">
        <v>45</v>
      </c>
      <c r="G22" s="20">
        <v>40</v>
      </c>
      <c r="H22" s="17" t="s">
        <v>21</v>
      </c>
    </row>
    <row r="23" spans="1:8" ht="39.950000000000003" customHeight="1" x14ac:dyDescent="0.25">
      <c r="A23" s="49"/>
      <c r="B23" s="29" t="s">
        <v>62</v>
      </c>
      <c r="C23" s="22">
        <v>1</v>
      </c>
      <c r="D23" s="23">
        <v>60</v>
      </c>
      <c r="E23" s="23">
        <v>55</v>
      </c>
      <c r="F23" s="23">
        <v>60</v>
      </c>
      <c r="G23" s="23">
        <v>45</v>
      </c>
      <c r="H23" s="12" t="s">
        <v>22</v>
      </c>
    </row>
    <row r="24" spans="1:8" ht="39.950000000000003" customHeight="1" x14ac:dyDescent="0.25">
      <c r="A24" s="48" t="s">
        <v>44</v>
      </c>
      <c r="B24" s="28" t="s">
        <v>63</v>
      </c>
      <c r="C24" s="25">
        <v>1</v>
      </c>
      <c r="D24" s="26">
        <v>80</v>
      </c>
      <c r="E24" s="26">
        <v>75</v>
      </c>
      <c r="F24" s="26">
        <v>90</v>
      </c>
      <c r="G24" s="26">
        <v>85</v>
      </c>
      <c r="H24" s="27" t="s">
        <v>23</v>
      </c>
    </row>
    <row r="25" spans="1:8" ht="39.950000000000003" customHeight="1" x14ac:dyDescent="0.25">
      <c r="A25" s="50"/>
      <c r="B25" s="31" t="s">
        <v>64</v>
      </c>
      <c r="C25" s="19">
        <v>0.5</v>
      </c>
      <c r="D25" s="20">
        <v>65</v>
      </c>
      <c r="E25" s="20">
        <v>60</v>
      </c>
      <c r="F25" s="20">
        <v>50</v>
      </c>
      <c r="G25" s="20">
        <v>45</v>
      </c>
      <c r="H25" s="17" t="s">
        <v>24</v>
      </c>
    </row>
    <row r="26" spans="1:8" ht="39.950000000000003" customHeight="1" x14ac:dyDescent="0.25">
      <c r="A26" s="49"/>
      <c r="B26" s="21" t="s">
        <v>65</v>
      </c>
      <c r="C26" s="22">
        <v>1</v>
      </c>
      <c r="D26" s="23">
        <v>90</v>
      </c>
      <c r="E26" s="23">
        <v>95</v>
      </c>
      <c r="F26" s="23">
        <v>100</v>
      </c>
      <c r="G26" s="23">
        <v>95</v>
      </c>
      <c r="H26" s="12"/>
    </row>
    <row r="27" spans="1:8" ht="39.950000000000003" customHeight="1" x14ac:dyDescent="0.25">
      <c r="A27" s="32" t="s">
        <v>73</v>
      </c>
      <c r="B27" s="33" t="s">
        <v>25</v>
      </c>
      <c r="C27" s="34">
        <v>1</v>
      </c>
      <c r="D27" s="35">
        <v>85</v>
      </c>
      <c r="E27" s="35">
        <v>90</v>
      </c>
      <c r="F27" s="35">
        <v>75</v>
      </c>
      <c r="G27" s="35">
        <v>70</v>
      </c>
      <c r="H27" s="36" t="s">
        <v>26</v>
      </c>
    </row>
    <row r="28" spans="1:8" ht="39.950000000000003" customHeight="1" x14ac:dyDescent="0.25">
      <c r="A28" s="48" t="s">
        <v>46</v>
      </c>
      <c r="B28" s="24" t="s">
        <v>66</v>
      </c>
      <c r="C28" s="25">
        <v>0.5</v>
      </c>
      <c r="D28" s="26">
        <v>30</v>
      </c>
      <c r="E28" s="26">
        <v>35</v>
      </c>
      <c r="F28" s="26">
        <v>30</v>
      </c>
      <c r="G28" s="26">
        <v>25</v>
      </c>
      <c r="H28" s="27" t="s">
        <v>27</v>
      </c>
    </row>
    <row r="29" spans="1:8" ht="39.950000000000003" customHeight="1" x14ac:dyDescent="0.25">
      <c r="A29" s="50"/>
      <c r="B29" s="31" t="s">
        <v>67</v>
      </c>
      <c r="C29" s="19">
        <v>0.5</v>
      </c>
      <c r="D29" s="20">
        <v>25</v>
      </c>
      <c r="E29" s="20">
        <v>20</v>
      </c>
      <c r="F29" s="20">
        <v>20</v>
      </c>
      <c r="G29" s="20">
        <v>20</v>
      </c>
      <c r="H29" s="17" t="s">
        <v>28</v>
      </c>
    </row>
    <row r="30" spans="1:8" ht="39.950000000000003" customHeight="1" x14ac:dyDescent="0.25">
      <c r="A30" s="50"/>
      <c r="B30" s="31" t="s">
        <v>68</v>
      </c>
      <c r="C30" s="19">
        <v>0.5</v>
      </c>
      <c r="D30" s="20">
        <v>40</v>
      </c>
      <c r="E30" s="20">
        <v>45</v>
      </c>
      <c r="F30" s="20">
        <v>35</v>
      </c>
      <c r="G30" s="20">
        <v>40</v>
      </c>
      <c r="H30" s="17" t="s">
        <v>29</v>
      </c>
    </row>
    <row r="31" spans="1:8" ht="39.950000000000003" customHeight="1" x14ac:dyDescent="0.25">
      <c r="A31" s="50"/>
      <c r="B31" s="18" t="s">
        <v>69</v>
      </c>
      <c r="C31" s="19">
        <v>0.5</v>
      </c>
      <c r="D31" s="20">
        <v>45</v>
      </c>
      <c r="E31" s="20">
        <v>40</v>
      </c>
      <c r="F31" s="20">
        <v>40</v>
      </c>
      <c r="G31" s="20">
        <v>35</v>
      </c>
      <c r="H31" s="17" t="s">
        <v>30</v>
      </c>
    </row>
    <row r="32" spans="1:8" ht="39.950000000000003" customHeight="1" x14ac:dyDescent="0.25">
      <c r="A32" s="49"/>
      <c r="B32" s="30" t="s">
        <v>70</v>
      </c>
      <c r="C32" s="22">
        <v>0.5</v>
      </c>
      <c r="D32" s="23">
        <v>55</v>
      </c>
      <c r="E32" s="23">
        <v>50</v>
      </c>
      <c r="F32" s="23">
        <v>55</v>
      </c>
      <c r="G32" s="23">
        <v>50</v>
      </c>
      <c r="H32" s="12" t="s">
        <v>31</v>
      </c>
    </row>
    <row r="33" spans="1:8" ht="39.950000000000003" customHeight="1" x14ac:dyDescent="0.25">
      <c r="A33" s="48" t="s">
        <v>45</v>
      </c>
      <c r="B33" s="28" t="s">
        <v>71</v>
      </c>
      <c r="C33" s="25">
        <v>1</v>
      </c>
      <c r="D33" s="26">
        <v>75</v>
      </c>
      <c r="E33" s="26">
        <v>70</v>
      </c>
      <c r="F33" s="26">
        <v>70</v>
      </c>
      <c r="G33" s="26">
        <v>65</v>
      </c>
      <c r="H33" s="27" t="s">
        <v>32</v>
      </c>
    </row>
    <row r="34" spans="1:8" ht="39.950000000000003" customHeight="1" x14ac:dyDescent="0.25">
      <c r="A34" s="49"/>
      <c r="B34" s="29" t="s">
        <v>72</v>
      </c>
      <c r="C34" s="22">
        <v>1</v>
      </c>
      <c r="D34" s="23">
        <v>80</v>
      </c>
      <c r="E34" s="23">
        <v>75</v>
      </c>
      <c r="F34" s="23">
        <v>75</v>
      </c>
      <c r="G34" s="23">
        <v>70</v>
      </c>
      <c r="H34" s="12" t="s">
        <v>33</v>
      </c>
    </row>
    <row r="35" spans="1:8" x14ac:dyDescent="0.25">
      <c r="C35" s="4">
        <f>SUM(C4:C34)</f>
        <v>21</v>
      </c>
    </row>
  </sheetData>
  <mergeCells count="8">
    <mergeCell ref="A12:A13"/>
    <mergeCell ref="A8:A11"/>
    <mergeCell ref="A33:A34"/>
    <mergeCell ref="A28:A32"/>
    <mergeCell ref="A24:A26"/>
    <mergeCell ref="A21:A23"/>
    <mergeCell ref="A19:A20"/>
    <mergeCell ref="A14:A18"/>
  </mergeCells>
  <conditionalFormatting sqref="D4:D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:C34">
    <cfRule type="colorScale" priority="3">
      <colorScale>
        <cfvo type="min"/>
        <cfvo type="max"/>
        <color rgb="FFFCFCFF"/>
        <color rgb="FF63BE7B"/>
      </colorScale>
    </cfRule>
  </conditionalFormatting>
  <conditionalFormatting sqref="F4:F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:G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C089-1078-4785-A710-FD05E7D1E1B1}">
  <dimension ref="A1:D21"/>
  <sheetViews>
    <sheetView workbookViewId="0">
      <selection activeCell="A23" sqref="A23"/>
    </sheetView>
  </sheetViews>
  <sheetFormatPr defaultRowHeight="15" x14ac:dyDescent="0.25"/>
  <cols>
    <col min="1" max="1" width="33.5703125" customWidth="1"/>
    <col min="2" max="2" width="8.42578125" customWidth="1"/>
    <col min="3" max="3" width="33.5703125" customWidth="1"/>
  </cols>
  <sheetData>
    <row r="1" spans="1:4" ht="24.75" customHeight="1" x14ac:dyDescent="0.25">
      <c r="A1" s="52" t="s">
        <v>111</v>
      </c>
      <c r="B1" s="52"/>
      <c r="C1" s="52"/>
      <c r="D1" s="52"/>
    </row>
    <row r="2" spans="1:4" ht="30.75" customHeight="1" x14ac:dyDescent="0.25">
      <c r="A2" s="42" t="s">
        <v>112</v>
      </c>
      <c r="B2" s="42" t="s">
        <v>108</v>
      </c>
      <c r="C2" s="42" t="s">
        <v>113</v>
      </c>
      <c r="D2" s="42" t="s">
        <v>108</v>
      </c>
    </row>
    <row r="3" spans="1:4" x14ac:dyDescent="0.25">
      <c r="A3" s="41" t="s">
        <v>84</v>
      </c>
      <c r="B3" s="40">
        <v>3</v>
      </c>
      <c r="C3" s="41" t="s">
        <v>74</v>
      </c>
      <c r="D3" s="40">
        <v>4</v>
      </c>
    </row>
    <row r="4" spans="1:4" x14ac:dyDescent="0.25">
      <c r="A4" s="41" t="s">
        <v>85</v>
      </c>
      <c r="B4" s="40">
        <v>6</v>
      </c>
      <c r="C4" s="41" t="s">
        <v>94</v>
      </c>
      <c r="D4" s="40">
        <v>5</v>
      </c>
    </row>
    <row r="5" spans="1:4" x14ac:dyDescent="0.25">
      <c r="A5" s="41" t="s">
        <v>87</v>
      </c>
      <c r="B5" s="40">
        <v>7</v>
      </c>
      <c r="C5" s="41" t="s">
        <v>95</v>
      </c>
      <c r="D5" s="40">
        <v>3</v>
      </c>
    </row>
    <row r="6" spans="1:4" x14ac:dyDescent="0.25">
      <c r="A6" s="41" t="s">
        <v>88</v>
      </c>
      <c r="B6" s="40">
        <v>6</v>
      </c>
      <c r="C6" s="41" t="s">
        <v>98</v>
      </c>
      <c r="D6" s="40">
        <v>2</v>
      </c>
    </row>
    <row r="7" spans="1:4" x14ac:dyDescent="0.25">
      <c r="A7" s="41" t="s">
        <v>90</v>
      </c>
      <c r="B7" s="40">
        <v>6</v>
      </c>
      <c r="C7" s="41" t="s">
        <v>101</v>
      </c>
      <c r="D7" s="40">
        <v>2</v>
      </c>
    </row>
    <row r="8" spans="1:4" x14ac:dyDescent="0.25">
      <c r="A8" s="41" t="s">
        <v>109</v>
      </c>
      <c r="B8" s="40">
        <v>4</v>
      </c>
      <c r="C8" s="41" t="s">
        <v>102</v>
      </c>
      <c r="D8" s="40">
        <v>6</v>
      </c>
    </row>
    <row r="9" spans="1:4" x14ac:dyDescent="0.25">
      <c r="A9" s="41" t="s">
        <v>93</v>
      </c>
      <c r="B9" s="40">
        <v>4</v>
      </c>
      <c r="C9" s="41" t="s">
        <v>103</v>
      </c>
      <c r="D9" s="40">
        <v>5</v>
      </c>
    </row>
    <row r="10" spans="1:4" x14ac:dyDescent="0.25">
      <c r="A10" s="41"/>
      <c r="B10" s="40"/>
      <c r="C10" s="41" t="s">
        <v>104</v>
      </c>
      <c r="D10" s="40">
        <v>4</v>
      </c>
    </row>
    <row r="11" spans="1:4" x14ac:dyDescent="0.25">
      <c r="A11" s="41"/>
      <c r="B11" s="40"/>
      <c r="C11" s="41" t="s">
        <v>105</v>
      </c>
      <c r="D11" s="40">
        <v>1</v>
      </c>
    </row>
    <row r="12" spans="1:4" x14ac:dyDescent="0.25">
      <c r="A12" s="41"/>
      <c r="B12" s="40"/>
      <c r="C12" s="41" t="s">
        <v>110</v>
      </c>
      <c r="D12" s="40">
        <v>5</v>
      </c>
    </row>
    <row r="13" spans="1:4" x14ac:dyDescent="0.25">
      <c r="A13" s="41" t="s">
        <v>89</v>
      </c>
      <c r="B13" s="40">
        <v>5</v>
      </c>
      <c r="C13" s="41" t="s">
        <v>106</v>
      </c>
      <c r="D13" s="40">
        <v>6</v>
      </c>
    </row>
    <row r="14" spans="1:4" x14ac:dyDescent="0.25">
      <c r="A14" s="39"/>
      <c r="B14" s="39">
        <f>SUM(B3:B13)</f>
        <v>41</v>
      </c>
      <c r="C14" s="39"/>
      <c r="D14" s="39">
        <f>SUM(D3:D12)</f>
        <v>37</v>
      </c>
    </row>
    <row r="15" spans="1:4" x14ac:dyDescent="0.25">
      <c r="A15" s="38" t="s">
        <v>96</v>
      </c>
      <c r="B15" s="38"/>
      <c r="C15" s="38" t="s">
        <v>97</v>
      </c>
      <c r="D15" s="38"/>
    </row>
    <row r="16" spans="1:4" x14ac:dyDescent="0.25">
      <c r="A16" s="51" t="s">
        <v>86</v>
      </c>
      <c r="B16" s="51"/>
      <c r="C16" s="51"/>
      <c r="D16" s="51"/>
    </row>
    <row r="17" spans="1:4" x14ac:dyDescent="0.25">
      <c r="A17" s="51" t="s">
        <v>107</v>
      </c>
      <c r="B17" s="51"/>
      <c r="C17" s="51"/>
      <c r="D17" s="51"/>
    </row>
    <row r="18" spans="1:4" x14ac:dyDescent="0.25">
      <c r="A18" s="51" t="s">
        <v>100</v>
      </c>
      <c r="B18" s="51"/>
      <c r="C18" s="51"/>
      <c r="D18" s="51"/>
    </row>
    <row r="19" spans="1:4" x14ac:dyDescent="0.25">
      <c r="A19" s="51" t="s">
        <v>91</v>
      </c>
      <c r="B19" s="51"/>
      <c r="C19" s="51"/>
      <c r="D19" s="51"/>
    </row>
    <row r="20" spans="1:4" x14ac:dyDescent="0.25">
      <c r="A20" s="51" t="s">
        <v>92</v>
      </c>
      <c r="B20" s="51"/>
      <c r="C20" s="51"/>
      <c r="D20" s="51"/>
    </row>
    <row r="21" spans="1:4" x14ac:dyDescent="0.25">
      <c r="A21" s="51" t="s">
        <v>99</v>
      </c>
      <c r="B21" s="51"/>
      <c r="C21" s="51"/>
      <c r="D21" s="51"/>
    </row>
  </sheetData>
  <mergeCells count="7">
    <mergeCell ref="A18:D18"/>
    <mergeCell ref="A17:D17"/>
    <mergeCell ref="A16:D16"/>
    <mergeCell ref="A1:D1"/>
    <mergeCell ref="A21:D21"/>
    <mergeCell ref="A20:D20"/>
    <mergeCell ref="A19:D19"/>
  </mergeCells>
  <conditionalFormatting sqref="B3:B13 D3:D13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{E355B766-989C-45C7-981A-5F3BCAA51FD6}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55B766-989C-45C7-981A-5F3BCAA51FD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B3:B13 D3:D13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978C-4ABB-46A2-9672-78AE83C8F140}">
  <dimension ref="A1:E64"/>
  <sheetViews>
    <sheetView tabSelected="1" workbookViewId="0">
      <pane ySplit="1" topLeftCell="A2" activePane="bottomLeft" state="frozen"/>
      <selection pane="bottomLeft" activeCell="G4" sqref="G4"/>
    </sheetView>
  </sheetViews>
  <sheetFormatPr defaultRowHeight="15" x14ac:dyDescent="0.25"/>
  <cols>
    <col min="1" max="1" width="36" customWidth="1"/>
  </cols>
  <sheetData>
    <row r="1" spans="1:5" x14ac:dyDescent="0.25">
      <c r="A1" s="43" t="s">
        <v>170</v>
      </c>
      <c r="B1" t="s">
        <v>173</v>
      </c>
      <c r="C1" s="46" t="s">
        <v>171</v>
      </c>
      <c r="D1" s="46" t="s">
        <v>172</v>
      </c>
      <c r="E1" s="43"/>
    </row>
    <row r="2" spans="1:5" x14ac:dyDescent="0.25">
      <c r="A2" s="44" t="s">
        <v>39</v>
      </c>
      <c r="E2" s="43"/>
    </row>
    <row r="3" spans="1:5" x14ac:dyDescent="0.25">
      <c r="A3" t="s">
        <v>114</v>
      </c>
      <c r="B3" s="47">
        <v>70</v>
      </c>
      <c r="C3" s="45">
        <v>2</v>
      </c>
      <c r="D3" s="45">
        <v>1</v>
      </c>
    </row>
    <row r="4" spans="1:5" x14ac:dyDescent="0.25">
      <c r="A4" t="s">
        <v>115</v>
      </c>
      <c r="B4" s="47">
        <v>70</v>
      </c>
      <c r="C4">
        <v>1</v>
      </c>
      <c r="D4">
        <v>1</v>
      </c>
    </row>
    <row r="5" spans="1:5" x14ac:dyDescent="0.25">
      <c r="A5" t="s">
        <v>116</v>
      </c>
      <c r="B5" s="47">
        <v>40</v>
      </c>
      <c r="C5" s="45">
        <v>1</v>
      </c>
      <c r="D5" s="45">
        <v>0</v>
      </c>
    </row>
    <row r="6" spans="1:5" x14ac:dyDescent="0.25">
      <c r="A6" t="s">
        <v>117</v>
      </c>
      <c r="B6" s="47">
        <v>60</v>
      </c>
      <c r="D6">
        <v>2</v>
      </c>
    </row>
    <row r="7" spans="1:5" x14ac:dyDescent="0.25">
      <c r="A7" t="s">
        <v>118</v>
      </c>
      <c r="B7" s="47">
        <v>50</v>
      </c>
      <c r="D7">
        <v>2</v>
      </c>
    </row>
    <row r="8" spans="1:5" x14ac:dyDescent="0.25">
      <c r="A8" t="s">
        <v>122</v>
      </c>
      <c r="B8" s="47">
        <v>40</v>
      </c>
      <c r="D8">
        <v>1</v>
      </c>
    </row>
    <row r="9" spans="1:5" x14ac:dyDescent="0.25">
      <c r="A9" t="s">
        <v>119</v>
      </c>
      <c r="B9" s="47">
        <v>50</v>
      </c>
      <c r="D9">
        <v>1</v>
      </c>
    </row>
    <row r="10" spans="1:5" x14ac:dyDescent="0.25">
      <c r="A10" t="s">
        <v>124</v>
      </c>
      <c r="B10" s="47">
        <v>75</v>
      </c>
      <c r="D10">
        <v>1</v>
      </c>
    </row>
    <row r="11" spans="1:5" x14ac:dyDescent="0.25">
      <c r="A11" t="s">
        <v>70</v>
      </c>
      <c r="B11" s="47">
        <v>50</v>
      </c>
      <c r="C11">
        <v>1</v>
      </c>
      <c r="D11">
        <v>1</v>
      </c>
    </row>
    <row r="12" spans="1:5" x14ac:dyDescent="0.25">
      <c r="A12" t="s">
        <v>120</v>
      </c>
      <c r="B12" s="47">
        <v>70</v>
      </c>
      <c r="D12">
        <v>1</v>
      </c>
    </row>
    <row r="13" spans="1:5" x14ac:dyDescent="0.25">
      <c r="A13" t="s">
        <v>125</v>
      </c>
      <c r="B13" s="47">
        <v>85</v>
      </c>
      <c r="D13">
        <v>1</v>
      </c>
    </row>
    <row r="14" spans="1:5" x14ac:dyDescent="0.25">
      <c r="A14" t="s">
        <v>126</v>
      </c>
      <c r="B14" s="47">
        <v>60</v>
      </c>
      <c r="D14">
        <v>1</v>
      </c>
    </row>
    <row r="15" spans="1:5" x14ac:dyDescent="0.25">
      <c r="A15" t="s">
        <v>127</v>
      </c>
      <c r="B15" s="47">
        <v>40</v>
      </c>
      <c r="D15">
        <v>1</v>
      </c>
    </row>
    <row r="16" spans="1:5" x14ac:dyDescent="0.25">
      <c r="A16" s="44" t="s">
        <v>40</v>
      </c>
      <c r="B16" s="47"/>
    </row>
    <row r="17" spans="1:4" x14ac:dyDescent="0.25">
      <c r="A17" t="s">
        <v>121</v>
      </c>
      <c r="B17" s="47">
        <v>45</v>
      </c>
      <c r="C17">
        <v>2</v>
      </c>
      <c r="D17">
        <v>2</v>
      </c>
    </row>
    <row r="18" spans="1:4" x14ac:dyDescent="0.25">
      <c r="A18" t="s">
        <v>128</v>
      </c>
      <c r="B18" s="47">
        <v>50</v>
      </c>
      <c r="C18" s="45">
        <v>2</v>
      </c>
      <c r="D18" s="45">
        <v>1</v>
      </c>
    </row>
    <row r="19" spans="1:4" x14ac:dyDescent="0.25">
      <c r="A19" t="s">
        <v>129</v>
      </c>
      <c r="B19" s="47">
        <v>60</v>
      </c>
      <c r="D19">
        <v>2</v>
      </c>
    </row>
    <row r="20" spans="1:4" x14ac:dyDescent="0.25">
      <c r="A20" t="s">
        <v>130</v>
      </c>
      <c r="B20" s="47">
        <v>65</v>
      </c>
      <c r="D20">
        <v>2</v>
      </c>
    </row>
    <row r="21" spans="1:4" x14ac:dyDescent="0.25">
      <c r="A21" s="44" t="s">
        <v>141</v>
      </c>
      <c r="B21" s="47"/>
    </row>
    <row r="22" spans="1:4" x14ac:dyDescent="0.25">
      <c r="A22" t="s">
        <v>82</v>
      </c>
      <c r="B22" s="47">
        <v>75</v>
      </c>
      <c r="C22">
        <v>2</v>
      </c>
      <c r="D22">
        <v>2</v>
      </c>
    </row>
    <row r="23" spans="1:4" x14ac:dyDescent="0.25">
      <c r="A23" t="s">
        <v>131</v>
      </c>
      <c r="B23" s="47">
        <v>85</v>
      </c>
      <c r="C23">
        <v>2</v>
      </c>
      <c r="D23">
        <v>2</v>
      </c>
    </row>
    <row r="24" spans="1:4" x14ac:dyDescent="0.25">
      <c r="A24" t="s">
        <v>132</v>
      </c>
      <c r="B24" s="47">
        <v>80</v>
      </c>
      <c r="C24">
        <v>2</v>
      </c>
      <c r="D24">
        <v>2</v>
      </c>
    </row>
    <row r="25" spans="1:4" x14ac:dyDescent="0.25">
      <c r="A25" t="s">
        <v>133</v>
      </c>
      <c r="B25" s="47">
        <v>50</v>
      </c>
      <c r="C25">
        <v>1</v>
      </c>
      <c r="D25">
        <v>1</v>
      </c>
    </row>
    <row r="26" spans="1:4" x14ac:dyDescent="0.25">
      <c r="A26" t="s">
        <v>134</v>
      </c>
      <c r="B26" s="47">
        <v>65</v>
      </c>
      <c r="C26">
        <v>2</v>
      </c>
      <c r="D26">
        <v>2</v>
      </c>
    </row>
    <row r="27" spans="1:4" x14ac:dyDescent="0.25">
      <c r="A27" t="s">
        <v>137</v>
      </c>
      <c r="B27" s="47">
        <v>55</v>
      </c>
      <c r="D27">
        <v>1</v>
      </c>
    </row>
    <row r="28" spans="1:4" x14ac:dyDescent="0.25">
      <c r="A28" t="s">
        <v>135</v>
      </c>
      <c r="B28" s="47">
        <v>75</v>
      </c>
      <c r="C28" s="45">
        <v>0</v>
      </c>
      <c r="D28">
        <v>2</v>
      </c>
    </row>
    <row r="29" spans="1:4" x14ac:dyDescent="0.25">
      <c r="A29" t="s">
        <v>136</v>
      </c>
      <c r="B29" s="47">
        <v>90</v>
      </c>
      <c r="C29">
        <v>2</v>
      </c>
      <c r="D29">
        <v>2</v>
      </c>
    </row>
    <row r="30" spans="1:4" x14ac:dyDescent="0.25">
      <c r="A30" t="s">
        <v>138</v>
      </c>
      <c r="B30" s="47">
        <v>85</v>
      </c>
      <c r="C30" s="45">
        <v>0</v>
      </c>
      <c r="D30">
        <v>1</v>
      </c>
    </row>
    <row r="31" spans="1:4" x14ac:dyDescent="0.25">
      <c r="A31" t="s">
        <v>139</v>
      </c>
      <c r="B31" s="47">
        <v>70</v>
      </c>
      <c r="D31">
        <v>1</v>
      </c>
    </row>
    <row r="32" spans="1:4" x14ac:dyDescent="0.25">
      <c r="A32" t="s">
        <v>140</v>
      </c>
      <c r="B32" s="47">
        <v>65</v>
      </c>
      <c r="D32">
        <v>1</v>
      </c>
    </row>
    <row r="33" spans="1:4" x14ac:dyDescent="0.25">
      <c r="A33" t="s">
        <v>165</v>
      </c>
      <c r="B33" s="47">
        <v>75</v>
      </c>
      <c r="C33">
        <v>2</v>
      </c>
    </row>
    <row r="34" spans="1:4" x14ac:dyDescent="0.25">
      <c r="A34" t="s">
        <v>166</v>
      </c>
      <c r="B34" s="47">
        <v>85</v>
      </c>
      <c r="C34">
        <v>2</v>
      </c>
    </row>
    <row r="35" spans="1:4" x14ac:dyDescent="0.25">
      <c r="A35" s="44" t="s">
        <v>42</v>
      </c>
      <c r="B35" s="47"/>
    </row>
    <row r="36" spans="1:4" x14ac:dyDescent="0.25">
      <c r="A36" t="s">
        <v>142</v>
      </c>
      <c r="B36" s="47">
        <v>80</v>
      </c>
      <c r="C36">
        <v>2</v>
      </c>
      <c r="D36">
        <v>2</v>
      </c>
    </row>
    <row r="37" spans="1:4" x14ac:dyDescent="0.25">
      <c r="A37" t="s">
        <v>144</v>
      </c>
      <c r="B37" s="47">
        <v>90</v>
      </c>
      <c r="D37">
        <v>2</v>
      </c>
    </row>
    <row r="38" spans="1:4" x14ac:dyDescent="0.25">
      <c r="A38" t="s">
        <v>145</v>
      </c>
      <c r="B38" s="47">
        <v>95</v>
      </c>
      <c r="D38">
        <v>2</v>
      </c>
    </row>
    <row r="39" spans="1:4" x14ac:dyDescent="0.25">
      <c r="A39" t="s">
        <v>146</v>
      </c>
      <c r="B39" s="47">
        <v>90</v>
      </c>
      <c r="D39">
        <v>2</v>
      </c>
    </row>
    <row r="40" spans="1:4" x14ac:dyDescent="0.25">
      <c r="A40" t="s">
        <v>147</v>
      </c>
      <c r="B40" s="47">
        <v>85</v>
      </c>
      <c r="D40">
        <v>1</v>
      </c>
    </row>
    <row r="41" spans="1:4" x14ac:dyDescent="0.25">
      <c r="A41" t="s">
        <v>148</v>
      </c>
      <c r="B41" s="47">
        <v>95</v>
      </c>
      <c r="C41">
        <v>1</v>
      </c>
      <c r="D41">
        <v>1</v>
      </c>
    </row>
    <row r="42" spans="1:4" x14ac:dyDescent="0.25">
      <c r="A42" t="s">
        <v>149</v>
      </c>
      <c r="B42" s="47">
        <v>90</v>
      </c>
      <c r="D42">
        <v>1</v>
      </c>
    </row>
    <row r="43" spans="1:4" x14ac:dyDescent="0.25">
      <c r="A43" t="s">
        <v>150</v>
      </c>
      <c r="B43" s="47">
        <v>90</v>
      </c>
      <c r="D43">
        <v>1</v>
      </c>
    </row>
    <row r="44" spans="1:4" x14ac:dyDescent="0.25">
      <c r="A44" s="44" t="s">
        <v>151</v>
      </c>
      <c r="B44" s="47"/>
    </row>
    <row r="45" spans="1:4" x14ac:dyDescent="0.25">
      <c r="A45" t="s">
        <v>152</v>
      </c>
      <c r="B45" s="47">
        <v>85</v>
      </c>
      <c r="C45">
        <v>2</v>
      </c>
      <c r="D45">
        <v>2</v>
      </c>
    </row>
    <row r="46" spans="1:4" x14ac:dyDescent="0.25">
      <c r="A46" t="s">
        <v>154</v>
      </c>
      <c r="B46" s="47">
        <v>55</v>
      </c>
      <c r="C46">
        <v>2</v>
      </c>
      <c r="D46">
        <v>1</v>
      </c>
    </row>
    <row r="47" spans="1:4" x14ac:dyDescent="0.25">
      <c r="A47" s="44" t="s">
        <v>155</v>
      </c>
      <c r="B47" s="47"/>
    </row>
    <row r="48" spans="1:4" x14ac:dyDescent="0.25">
      <c r="A48" t="s">
        <v>156</v>
      </c>
      <c r="B48" s="47">
        <v>60</v>
      </c>
      <c r="C48">
        <v>2</v>
      </c>
      <c r="D48">
        <v>2</v>
      </c>
    </row>
    <row r="49" spans="1:4" x14ac:dyDescent="0.25">
      <c r="A49" t="s">
        <v>157</v>
      </c>
      <c r="B49" s="47">
        <v>70</v>
      </c>
      <c r="C49">
        <v>1</v>
      </c>
      <c r="D49">
        <v>1</v>
      </c>
    </row>
    <row r="50" spans="1:4" x14ac:dyDescent="0.25">
      <c r="A50" t="s">
        <v>158</v>
      </c>
      <c r="B50" s="47">
        <v>90</v>
      </c>
      <c r="C50">
        <v>2</v>
      </c>
      <c r="D50">
        <v>2</v>
      </c>
    </row>
    <row r="51" spans="1:4" x14ac:dyDescent="0.25">
      <c r="A51" s="44" t="s">
        <v>159</v>
      </c>
      <c r="B51" s="47"/>
    </row>
    <row r="52" spans="1:4" x14ac:dyDescent="0.25">
      <c r="A52" t="s">
        <v>160</v>
      </c>
      <c r="B52" s="47">
        <v>50</v>
      </c>
      <c r="C52">
        <v>1</v>
      </c>
      <c r="D52" s="45">
        <v>0</v>
      </c>
    </row>
    <row r="53" spans="1:4" x14ac:dyDescent="0.25">
      <c r="A53" t="s">
        <v>161</v>
      </c>
      <c r="B53" s="47">
        <v>55</v>
      </c>
      <c r="C53">
        <v>1</v>
      </c>
    </row>
    <row r="54" spans="1:4" x14ac:dyDescent="0.25">
      <c r="A54" t="s">
        <v>162</v>
      </c>
      <c r="B54" s="47">
        <v>65</v>
      </c>
      <c r="C54">
        <v>1</v>
      </c>
      <c r="D54">
        <v>1</v>
      </c>
    </row>
    <row r="55" spans="1:4" x14ac:dyDescent="0.25">
      <c r="A55" t="s">
        <v>163</v>
      </c>
      <c r="B55" s="47">
        <v>70</v>
      </c>
      <c r="D55">
        <v>2</v>
      </c>
    </row>
    <row r="56" spans="1:4" x14ac:dyDescent="0.25">
      <c r="A56" t="s">
        <v>164</v>
      </c>
      <c r="B56" s="47">
        <v>60</v>
      </c>
      <c r="D56">
        <v>1</v>
      </c>
    </row>
    <row r="57" spans="1:4" x14ac:dyDescent="0.25">
      <c r="A57" s="44" t="s">
        <v>167</v>
      </c>
      <c r="B57" s="47"/>
    </row>
    <row r="58" spans="1:4" x14ac:dyDescent="0.25">
      <c r="A58" t="s">
        <v>143</v>
      </c>
      <c r="B58" s="47">
        <v>65</v>
      </c>
      <c r="C58" s="45">
        <v>1</v>
      </c>
      <c r="D58" s="45">
        <v>2</v>
      </c>
    </row>
    <row r="59" spans="1:4" x14ac:dyDescent="0.25">
      <c r="A59" t="s">
        <v>168</v>
      </c>
      <c r="B59" s="47">
        <v>50</v>
      </c>
      <c r="D59">
        <v>1</v>
      </c>
    </row>
    <row r="60" spans="1:4" x14ac:dyDescent="0.25">
      <c r="A60" t="s">
        <v>153</v>
      </c>
      <c r="B60" s="47">
        <v>70</v>
      </c>
      <c r="C60">
        <v>1</v>
      </c>
      <c r="D60">
        <v>1</v>
      </c>
    </row>
    <row r="61" spans="1:4" x14ac:dyDescent="0.25">
      <c r="A61" s="44" t="s">
        <v>83</v>
      </c>
      <c r="B61" s="47"/>
    </row>
    <row r="62" spans="1:4" x14ac:dyDescent="0.25">
      <c r="A62" t="s">
        <v>123</v>
      </c>
      <c r="B62" s="47">
        <v>85</v>
      </c>
      <c r="C62">
        <v>2</v>
      </c>
      <c r="D62">
        <v>2</v>
      </c>
    </row>
    <row r="63" spans="1:4" x14ac:dyDescent="0.25">
      <c r="A63" t="s">
        <v>169</v>
      </c>
      <c r="B63" s="47">
        <v>95</v>
      </c>
      <c r="D63">
        <v>1</v>
      </c>
    </row>
    <row r="64" spans="1:4" x14ac:dyDescent="0.25">
      <c r="C64" s="45">
        <f>SUM(C2:C63)</f>
        <v>43</v>
      </c>
      <c r="D64" s="45">
        <f>SUM(D2:D63)</f>
        <v>69</v>
      </c>
    </row>
  </sheetData>
  <conditionalFormatting sqref="B3:B63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{84F6C4E7-C51C-4BDD-8F93-F1FA0E9A09A5}</x14:id>
        </ext>
      </extLst>
    </cfRule>
  </conditionalFormatting>
  <conditionalFormatting sqref="A2:A63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{735CCB22-82B4-4D6E-9C81-51BE91005284}</x14:id>
        </ext>
      </extLst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F6C4E7-C51C-4BDD-8F93-F1FA0E9A09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B3:B63</xm:sqref>
        </x14:conditionalFormatting>
        <x14:conditionalFormatting xmlns:xm="http://schemas.microsoft.com/office/excel/2006/main">
          <x14:cfRule type="dataBar" id="{735CCB22-82B4-4D6E-9C81-51BE910052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A2:A63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v.18</vt:lpstr>
      <vt:lpstr>Madatory Comparison</vt:lpstr>
      <vt:lpstr>Modules 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Kayhan</dc:creator>
  <cp:lastModifiedBy>Kayhan</cp:lastModifiedBy>
  <dcterms:created xsi:type="dcterms:W3CDTF">2025-12-09T08:00:56Z</dcterms:created>
  <dcterms:modified xsi:type="dcterms:W3CDTF">2025-12-24T11:32:39Z</dcterms:modified>
</cp:coreProperties>
</file>